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ksenkys\Desktop\vba\"/>
    </mc:Choice>
  </mc:AlternateContent>
  <bookViews>
    <workbookView xWindow="0" yWindow="0" windowWidth="28740" windowHeight="12180"/>
  </bookViews>
  <sheets>
    <sheet name="Пример на реальных данных" sheetId="1" r:id="rId1"/>
    <sheet name="Наглядный пример" sheetId="2" r:id="rId2"/>
  </sheets>
  <functionGroups builtInGroupCount="18">
    <functionGroup name="My Custom Category"/>
  </functionGroup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" l="1"/>
  <c r="L6" i="2"/>
  <c r="L7" i="2"/>
  <c r="L8" i="2"/>
  <c r="L9" i="2"/>
  <c r="L10" i="2"/>
  <c r="L11" i="2"/>
  <c r="L4" i="2"/>
  <c r="L5" i="2"/>
  <c r="L3" i="2"/>
  <c r="P7" i="1"/>
  <c r="P15" i="1"/>
  <c r="P23" i="1"/>
  <c r="P8" i="1"/>
  <c r="P16" i="1"/>
  <c r="P24" i="1"/>
  <c r="P9" i="1"/>
  <c r="P25" i="1"/>
  <c r="P18" i="1"/>
  <c r="P26" i="1"/>
  <c r="P11" i="1"/>
  <c r="P27" i="1"/>
  <c r="P20" i="1"/>
  <c r="P13" i="1"/>
  <c r="P6" i="1"/>
  <c r="P22" i="1"/>
  <c r="P17" i="1"/>
  <c r="P10" i="1"/>
  <c r="P19" i="1"/>
  <c r="P12" i="1"/>
  <c r="P5" i="1"/>
  <c r="P21" i="1"/>
  <c r="P14" i="1"/>
  <c r="O5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4" i="1"/>
  <c r="K3" i="2"/>
  <c r="N6" i="1"/>
  <c r="N7" i="1" s="1"/>
  <c r="N8" i="1" s="1"/>
  <c r="N9" i="1" s="1"/>
  <c r="N10" i="1" s="1"/>
  <c r="N11" i="1" s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  <c r="N25" i="1" s="1"/>
  <c r="N26" i="1" s="1"/>
  <c r="N27" i="1" s="1"/>
  <c r="N5" i="1"/>
  <c r="N4" i="1"/>
  <c r="M6" i="1"/>
  <c r="M7" i="1"/>
  <c r="M8" i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5" i="1"/>
  <c r="M4" i="1"/>
  <c r="L29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4" i="1"/>
  <c r="K29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4" i="1"/>
  <c r="K4" i="2"/>
  <c r="K5" i="2"/>
  <c r="K6" i="2"/>
  <c r="K7" i="2"/>
  <c r="K8" i="2"/>
  <c r="K9" i="2"/>
  <c r="K10" i="2"/>
  <c r="K11" i="2"/>
  <c r="J5" i="2"/>
  <c r="J6" i="2" s="1"/>
  <c r="J7" i="2" s="1"/>
  <c r="J8" i="2" s="1"/>
  <c r="J9" i="2" s="1"/>
  <c r="J10" i="2" s="1"/>
  <c r="J11" i="2" s="1"/>
  <c r="J4" i="2"/>
  <c r="J3" i="2"/>
  <c r="I5" i="2"/>
  <c r="I6" i="2" s="1"/>
  <c r="I7" i="2" s="1"/>
  <c r="I8" i="2" s="1"/>
  <c r="I9" i="2" s="1"/>
  <c r="I10" i="2" s="1"/>
  <c r="I11" i="2" s="1"/>
  <c r="I4" i="2"/>
  <c r="I3" i="2"/>
  <c r="H13" i="2"/>
  <c r="H4" i="2"/>
  <c r="H5" i="2"/>
  <c r="H6" i="2"/>
  <c r="H7" i="2"/>
  <c r="H8" i="2"/>
  <c r="H9" i="2"/>
  <c r="H10" i="2"/>
  <c r="H11" i="2"/>
  <c r="H3" i="2"/>
  <c r="G13" i="2"/>
  <c r="G4" i="2"/>
  <c r="G3" i="2"/>
  <c r="D13" i="2"/>
  <c r="G5" i="2"/>
  <c r="G6" i="2"/>
  <c r="G7" i="2"/>
  <c r="G8" i="2"/>
  <c r="G9" i="2"/>
  <c r="G10" i="2"/>
  <c r="G11" i="2"/>
  <c r="E11" i="2"/>
  <c r="E10" i="2"/>
  <c r="E9" i="2"/>
  <c r="E8" i="2"/>
  <c r="E7" i="2"/>
  <c r="E6" i="2"/>
  <c r="E5" i="2"/>
  <c r="E4" i="2"/>
  <c r="E3" i="2"/>
  <c r="E13" i="2" s="1"/>
  <c r="E29" i="1" l="1"/>
  <c r="D29" i="1"/>
</calcChain>
</file>

<file path=xl/sharedStrings.xml><?xml version="1.0" encoding="utf-8"?>
<sst xmlns="http://schemas.openxmlformats.org/spreadsheetml/2006/main" count="57" uniqueCount="53">
  <si>
    <t>Отчёт Volkswagen по проданным автомобилям за 2018 год</t>
  </si>
  <si>
    <t>Модель</t>
  </si>
  <si>
    <t>Примерная
цена (€)</t>
  </si>
  <si>
    <t>Реализовано (шт.)</t>
  </si>
  <si>
    <t>Выручка (€)</t>
  </si>
  <si>
    <t>Tiguan</t>
  </si>
  <si>
    <t>Passat/Magotan</t>
  </si>
  <si>
    <t>Golf</t>
  </si>
  <si>
    <t>Jetta/Sagitar</t>
  </si>
  <si>
    <t>Polo/Virtus</t>
  </si>
  <si>
    <t>Lavida</t>
  </si>
  <si>
    <t>T-Roc</t>
  </si>
  <si>
    <t>Atlas/Teramont</t>
  </si>
  <si>
    <t>Bora</t>
  </si>
  <si>
    <t>Touran</t>
  </si>
  <si>
    <t>Santana</t>
  </si>
  <si>
    <t>Lamando</t>
  </si>
  <si>
    <t>Touareg</t>
  </si>
  <si>
    <t>Arteon/CC</t>
  </si>
  <si>
    <t>Gol</t>
  </si>
  <si>
    <t>up!</t>
  </si>
  <si>
    <t>Sharan</t>
  </si>
  <si>
    <t>Phideon</t>
  </si>
  <si>
    <t>Saveiro</t>
  </si>
  <si>
    <t>Beetle</t>
  </si>
  <si>
    <t>Tharu</t>
  </si>
  <si>
    <t>Fox</t>
  </si>
  <si>
    <t>Suran</t>
  </si>
  <si>
    <t>Scirocco</t>
  </si>
  <si>
    <t/>
  </si>
  <si>
    <t>Продукт</t>
  </si>
  <si>
    <t>Цена (€)</t>
  </si>
  <si>
    <t>Продукт 9</t>
  </si>
  <si>
    <t>Продукт 8</t>
  </si>
  <si>
    <t>Продукт 7</t>
  </si>
  <si>
    <t>Продукт 2</t>
  </si>
  <si>
    <t>Продукт 3</t>
  </si>
  <si>
    <t>Продукт 6</t>
  </si>
  <si>
    <t>Продукт 1</t>
  </si>
  <si>
    <t>Продукт 5</t>
  </si>
  <si>
    <t>Продукт 4</t>
  </si>
  <si>
    <t>Доля (шт)</t>
  </si>
  <si>
    <t>Доля (€)</t>
  </si>
  <si>
    <t>Накопительная доля (шт)</t>
  </si>
  <si>
    <t>Накопительная доля (€)</t>
  </si>
  <si>
    <t>Класс</t>
  </si>
  <si>
    <t>Накопительная доля выручки</t>
  </si>
  <si>
    <t>Доля выручки</t>
  </si>
  <si>
    <t>Доля объема продаж</t>
  </si>
  <si>
    <t>Накопительная доля объема продаж</t>
  </si>
  <si>
    <t>Ручной расчет</t>
  </si>
  <si>
    <t>Через макрос</t>
  </si>
  <si>
    <t>Класс (через макрос)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</si>
</sst>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\ _₽_-;\-* #,##0.00\ _₽_-;_-* &quot;-&quot;??\ _₽_-;_-@_-"/>
    <numFmt numFmtId="164" formatCode="#,##0.00\ [$€-1]"/>
    <numFmt numFmtId="165" formatCode="_-* #,##0\ _₽_-;\-* #,##0\ _₽_-;_-* &quot;-&quot;??\ _₽_-;_-@_-"/>
    <numFmt numFmtId="166" formatCode="0.0%"/>
  </numFmts>
  <fonts count="6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9"/>
      <name val="Calibri"/>
      <family val="2"/>
      <charset val="204"/>
      <scheme val="minor"/>
    </font>
    <font>
      <b/>
      <sz val="11"/>
      <color theme="8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9">
    <xf numFmtId="0" fontId="0" fillId="0" borderId="0" xfId="0"/>
    <xf numFmtId="0" fontId="3" fillId="2" borderId="4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right" vertical="center"/>
    </xf>
    <xf numFmtId="164" fontId="0" fillId="2" borderId="5" xfId="0" applyNumberFormat="1" applyFill="1" applyBorder="1" applyAlignment="1">
      <alignment vertical="center"/>
    </xf>
    <xf numFmtId="165" fontId="0" fillId="2" borderId="5" xfId="1" applyNumberFormat="1" applyFont="1" applyFill="1" applyBorder="1"/>
    <xf numFmtId="164" fontId="0" fillId="2" borderId="6" xfId="0" applyNumberFormat="1" applyFill="1" applyBorder="1" applyAlignment="1">
      <alignment vertical="center"/>
    </xf>
    <xf numFmtId="0" fontId="0" fillId="2" borderId="7" xfId="0" applyFill="1" applyBorder="1" applyAlignment="1">
      <alignment horizontal="right"/>
    </xf>
    <xf numFmtId="164" fontId="0" fillId="2" borderId="0" xfId="0" applyNumberFormat="1" applyFill="1" applyBorder="1" applyAlignment="1">
      <alignment vertical="center"/>
    </xf>
    <xf numFmtId="165" fontId="0" fillId="2" borderId="0" xfId="1" applyNumberFormat="1" applyFont="1" applyFill="1" applyBorder="1"/>
    <xf numFmtId="164" fontId="0" fillId="2" borderId="8" xfId="0" applyNumberFormat="1" applyFill="1" applyBorder="1" applyAlignment="1">
      <alignment vertical="center"/>
    </xf>
    <xf numFmtId="0" fontId="0" fillId="2" borderId="7" xfId="0" applyFill="1" applyBorder="1" applyAlignment="1">
      <alignment horizontal="right" vertical="center"/>
    </xf>
    <xf numFmtId="0" fontId="0" fillId="2" borderId="9" xfId="0" applyFill="1" applyBorder="1" applyAlignment="1">
      <alignment horizontal="right"/>
    </xf>
    <xf numFmtId="164" fontId="0" fillId="2" borderId="10" xfId="0" applyNumberFormat="1" applyFill="1" applyBorder="1" applyAlignment="1">
      <alignment vertical="center"/>
    </xf>
    <xf numFmtId="165" fontId="0" fillId="2" borderId="10" xfId="1" applyNumberFormat="1" applyFont="1" applyFill="1" applyBorder="1"/>
    <xf numFmtId="164" fontId="0" fillId="2" borderId="11" xfId="0" applyNumberFormat="1" applyFill="1" applyBorder="1" applyAlignment="1">
      <alignment vertical="center"/>
    </xf>
    <xf numFmtId="0" fontId="0" fillId="2" borderId="0" xfId="0" applyFill="1" applyBorder="1"/>
    <xf numFmtId="164" fontId="2" fillId="2" borderId="0" xfId="0" applyNumberFormat="1" applyFont="1" applyFill="1" applyBorder="1"/>
    <xf numFmtId="165" fontId="2" fillId="2" borderId="0" xfId="0" applyNumberFormat="1" applyFont="1" applyFill="1" applyBorder="1"/>
    <xf numFmtId="164" fontId="2" fillId="2" borderId="1" xfId="0" applyNumberFormat="1" applyFont="1" applyFill="1" applyBorder="1"/>
    <xf numFmtId="164" fontId="2" fillId="2" borderId="2" xfId="0" applyNumberFormat="1" applyFont="1" applyFill="1" applyBorder="1"/>
    <xf numFmtId="3" fontId="2" fillId="2" borderId="2" xfId="0" applyNumberFormat="1" applyFont="1" applyFill="1" applyBorder="1" applyAlignment="1">
      <alignment horizontal="right" vertical="center" indent="1"/>
    </xf>
    <xf numFmtId="164" fontId="2" fillId="2" borderId="3" xfId="0" applyNumberFormat="1" applyFont="1" applyFill="1" applyBorder="1"/>
    <xf numFmtId="0" fontId="3" fillId="2" borderId="0" xfId="0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2" applyFont="1"/>
    <xf numFmtId="9" fontId="0" fillId="0" borderId="12" xfId="2" applyFont="1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2" xfId="0" applyFill="1" applyBorder="1" applyAlignment="1">
      <alignment vertical="center" wrapText="1"/>
    </xf>
    <xf numFmtId="164" fontId="2" fillId="2" borderId="7" xfId="0" applyNumberFormat="1" applyFont="1" applyFill="1" applyBorder="1"/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 wrapText="1"/>
    </xf>
    <xf numFmtId="166" fontId="0" fillId="0" borderId="12" xfId="2" applyNumberFormat="1" applyFont="1" applyBorder="1"/>
    <xf numFmtId="166" fontId="0" fillId="0" borderId="0" xfId="2" applyNumberFormat="1" applyFont="1" applyFill="1" applyBorder="1"/>
    <xf numFmtId="166" fontId="0" fillId="0" borderId="12" xfId="0" applyNumberFormat="1" applyBorder="1"/>
    <xf numFmtId="0" fontId="0" fillId="0" borderId="12" xfId="0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5" fillId="0" borderId="12" xfId="0" applyFont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2" xfId="0" applyBorder="1" applyAlignment="1">
      <alignment horizontal="left" vertical="center"/>
    </xf>
    <xf numFmtId="9" fontId="0" fillId="0" borderId="12" xfId="0" applyNumberFormat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/>
    </xf>
  </cellXfs>
  <cellStyles count="3">
    <cellStyle name="Обычный" xfId="0" builtinId="0"/>
    <cellStyle name="Процентный" xfId="2" builtinId="5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ABC</a:t>
            </a:r>
            <a:r>
              <a:rPr lang="ru-RU" b="1" baseline="0"/>
              <a:t>-анализ</a:t>
            </a:r>
            <a:endParaRPr lang="ru-RU" b="1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'Пример на реальных данных'!$M$4:$M$27</c:f>
              <c:numCache>
                <c:formatCode>0.0%</c:formatCode>
                <c:ptCount val="24"/>
                <c:pt idx="0">
                  <c:v>0.136781952355922</c:v>
                </c:pt>
                <c:pt idx="1">
                  <c:v>0.24099626654131817</c:v>
                </c:pt>
                <c:pt idx="2">
                  <c:v>0.36895210660128219</c:v>
                </c:pt>
                <c:pt idx="3">
                  <c:v>0.49130140651822823</c:v>
                </c:pt>
                <c:pt idx="4">
                  <c:v>0.62710640277841745</c:v>
                </c:pt>
                <c:pt idx="5">
                  <c:v>0.70866063956322822</c:v>
                </c:pt>
                <c:pt idx="6">
                  <c:v>0.74629329962474855</c:v>
                </c:pt>
                <c:pt idx="7">
                  <c:v>0.77265999799908214</c:v>
                </c:pt>
                <c:pt idx="8">
                  <c:v>0.81543993990894237</c:v>
                </c:pt>
                <c:pt idx="9">
                  <c:v>0.83615055160224294</c:v>
                </c:pt>
                <c:pt idx="10">
                  <c:v>0.87935767359947659</c:v>
                </c:pt>
                <c:pt idx="11">
                  <c:v>0.90176096653861848</c:v>
                </c:pt>
                <c:pt idx="12">
                  <c:v>0.90817454356045868</c:v>
                </c:pt>
                <c:pt idx="13">
                  <c:v>0.91607261108667304</c:v>
                </c:pt>
                <c:pt idx="14">
                  <c:v>0.94091098932684991</c:v>
                </c:pt>
                <c:pt idx="15">
                  <c:v>0.96258950534451515</c:v>
                </c:pt>
                <c:pt idx="16">
                  <c:v>0.96742648611823512</c:v>
                </c:pt>
                <c:pt idx="17">
                  <c:v>0.97125395617989829</c:v>
                </c:pt>
                <c:pt idx="18">
                  <c:v>0.98066033466145575</c:v>
                </c:pt>
                <c:pt idx="19">
                  <c:v>0.98667039324388484</c:v>
                </c:pt>
                <c:pt idx="20">
                  <c:v>0.99095585117617446</c:v>
                </c:pt>
                <c:pt idx="21">
                  <c:v>0.99740261802636443</c:v>
                </c:pt>
                <c:pt idx="22">
                  <c:v>1</c:v>
                </c:pt>
                <c:pt idx="23">
                  <c:v>1</c:v>
                </c:pt>
              </c:numCache>
            </c:numRef>
          </c:xVal>
          <c:yVal>
            <c:numRef>
              <c:f>'Пример на реальных данных'!$N$4:$N$27</c:f>
              <c:numCache>
                <c:formatCode>0.0%</c:formatCode>
                <c:ptCount val="24"/>
                <c:pt idx="0">
                  <c:v>0.20586768037438852</c:v>
                </c:pt>
                <c:pt idx="1">
                  <c:v>0.33668569825618255</c:v>
                </c:pt>
                <c:pt idx="2">
                  <c:v>0.46209799076738278</c:v>
                </c:pt>
                <c:pt idx="3">
                  <c:v>0.56419348068419262</c:v>
                </c:pt>
                <c:pt idx="4">
                  <c:v>0.65730590481018814</c:v>
                </c:pt>
                <c:pt idx="5">
                  <c:v>0.71913938007147882</c:v>
                </c:pt>
                <c:pt idx="6">
                  <c:v>0.75904729266355164</c:v>
                </c:pt>
                <c:pt idx="7">
                  <c:v>0.79544136650377384</c:v>
                </c:pt>
                <c:pt idx="8">
                  <c:v>0.82643744147107778</c:v>
                </c:pt>
                <c:pt idx="9">
                  <c:v>0.85270540794393501</c:v>
                </c:pt>
                <c:pt idx="10">
                  <c:v>0.8780058760925894</c:v>
                </c:pt>
                <c:pt idx="11">
                  <c:v>0.89890305302055329</c:v>
                </c:pt>
                <c:pt idx="12">
                  <c:v>0.91777902243444187</c:v>
                </c:pt>
                <c:pt idx="13">
                  <c:v>0.93460949842908769</c:v>
                </c:pt>
                <c:pt idx="14">
                  <c:v>0.94773714218979188</c:v>
                </c:pt>
                <c:pt idx="15">
                  <c:v>0.9594385521432458</c:v>
                </c:pt>
                <c:pt idx="16">
                  <c:v>0.96862148099567069</c:v>
                </c:pt>
                <c:pt idx="17">
                  <c:v>0.97726965655186449</c:v>
                </c:pt>
                <c:pt idx="18">
                  <c:v>0.98289339331510894</c:v>
                </c:pt>
                <c:pt idx="19">
                  <c:v>0.98851449964843419</c:v>
                </c:pt>
                <c:pt idx="20">
                  <c:v>0.99337751741703195</c:v>
                </c:pt>
                <c:pt idx="21">
                  <c:v>0.99713081412631821</c:v>
                </c:pt>
                <c:pt idx="22">
                  <c:v>0.99999999999999978</c:v>
                </c:pt>
                <c:pt idx="23">
                  <c:v>0.99999999999999978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E-421B-A992-36043C2AE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6890576"/>
        <c:axId val="2046895152"/>
      </c:scatterChart>
      <c:valAx>
        <c:axId val="2046890576"/>
        <c:scaling>
          <c:orientation val="minMax"/>
          <c:max val="1"/>
        </c:scaling>
        <c:delete val="0"/>
        <c:axPos val="b"/>
        <c:title>
          <c:tx>
            <c:strRef>
              <c:f>'Пример на реальных данных'!$N$3</c:f>
              <c:strCache>
                <c:ptCount val="1"/>
                <c:pt idx="0">
                  <c:v>Накопительная доля выручки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46895152"/>
        <c:crosses val="autoZero"/>
        <c:crossBetween val="midCat"/>
      </c:valAx>
      <c:valAx>
        <c:axId val="20468951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'Пример на реальных данных'!$M$3</c:f>
              <c:strCache>
                <c:ptCount val="1"/>
                <c:pt idx="0">
                  <c:v>Накопительная доля объема продаж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4689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ABC-</a:t>
            </a:r>
            <a:r>
              <a:rPr lang="ru-RU"/>
              <a:t>анализ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'Наглядный пример'!$J$2</c:f>
              <c:strCache>
                <c:ptCount val="1"/>
                <c:pt idx="0">
                  <c:v>Накопительная доля (€)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rgbClr val="FF0000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5A5C-4107-8D9A-25DE2743F8EE}"/>
              </c:ext>
            </c:extLst>
          </c:dPt>
          <c:xVal>
            <c:numRef>
              <c:f>'Наглядный пример'!$I$3:$I$11</c:f>
              <c:numCache>
                <c:formatCode>0%</c:formatCode>
                <c:ptCount val="9"/>
                <c:pt idx="0">
                  <c:v>8.0645161290322578E-2</c:v>
                </c:pt>
                <c:pt idx="1">
                  <c:v>0.13978494623655913</c:v>
                </c:pt>
                <c:pt idx="2">
                  <c:v>0.20430107526881719</c:v>
                </c:pt>
                <c:pt idx="3">
                  <c:v>0.31182795698924731</c:v>
                </c:pt>
                <c:pt idx="4">
                  <c:v>0.4623655913978495</c:v>
                </c:pt>
                <c:pt idx="5">
                  <c:v>0.61290322580645162</c:v>
                </c:pt>
                <c:pt idx="6">
                  <c:v>0.78494623655913975</c:v>
                </c:pt>
                <c:pt idx="7">
                  <c:v>0.89247311827956988</c:v>
                </c:pt>
                <c:pt idx="8">
                  <c:v>1</c:v>
                </c:pt>
              </c:numCache>
            </c:numRef>
          </c:xVal>
          <c:yVal>
            <c:numRef>
              <c:f>'Наглядный пример'!$J$3:$J$11</c:f>
              <c:numCache>
                <c:formatCode>0%</c:formatCode>
                <c:ptCount val="9"/>
                <c:pt idx="0">
                  <c:v>0.30410542321338063</c:v>
                </c:pt>
                <c:pt idx="1">
                  <c:v>0.57357661767190404</c:v>
                </c:pt>
                <c:pt idx="2">
                  <c:v>0.75603987159993247</c:v>
                </c:pt>
                <c:pt idx="3">
                  <c:v>0.84051360027031596</c:v>
                </c:pt>
                <c:pt idx="4">
                  <c:v>0.90201047474235518</c:v>
                </c:pt>
                <c:pt idx="5">
                  <c:v>0.94931576279776997</c:v>
                </c:pt>
                <c:pt idx="6">
                  <c:v>0.97634735597229272</c:v>
                </c:pt>
                <c:pt idx="7">
                  <c:v>0.98986315255955404</c:v>
                </c:pt>
                <c:pt idx="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5C-4107-8D9A-25DE2743F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311216"/>
        <c:axId val="2050304976"/>
      </c:scatterChart>
      <c:valAx>
        <c:axId val="2050311216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'Наглядный пример'!$I$2</c:f>
              <c:strCache>
                <c:ptCount val="1"/>
                <c:pt idx="0">
                  <c:v>Накопительная доля (шт)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0304976"/>
        <c:crosses val="autoZero"/>
        <c:crossBetween val="midCat"/>
      </c:valAx>
      <c:valAx>
        <c:axId val="2050304976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'Наглядный пример'!$J$2</c:f>
              <c:strCache>
                <c:ptCount val="1"/>
                <c:pt idx="0">
                  <c:v>Накопительная доля (€)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50311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2</xdr:row>
      <xdr:rowOff>47626</xdr:rowOff>
    </xdr:from>
    <xdr:to>
      <xdr:col>9</xdr:col>
      <xdr:colOff>1162050</xdr:colOff>
      <xdr:row>26</xdr:row>
      <xdr:rowOff>180976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409574</xdr:colOff>
      <xdr:row>13</xdr:row>
      <xdr:rowOff>104774</xdr:rowOff>
    </xdr:from>
    <xdr:to>
      <xdr:col>12</xdr:col>
      <xdr:colOff>133349</xdr:colOff>
      <xdr:row>31</xdr:row>
      <xdr:rowOff>76199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2:P29"/>
  <sheetViews>
    <sheetView showGridLines="0" tabSelected="1" workbookViewId="0">
      <selection activeCell="E34" sqref="E34"/>
    </sheetView>
  </sheetViews>
  <sheetFormatPr defaultRowHeight="15" x14ac:dyDescent="0.25"/>
  <cols>
    <col min="2" max="4" width="18.28515625" customWidth="1"/>
    <col min="5" max="5" width="24.5703125" customWidth="1"/>
    <col min="6" max="10" width="22.42578125" customWidth="1"/>
    <col min="11" max="11" width="16.42578125" customWidth="1"/>
    <col min="12" max="12" width="18.7109375" customWidth="1"/>
    <col min="13" max="13" width="24.7109375" customWidth="1"/>
    <col min="14" max="14" width="28" customWidth="1"/>
    <col min="16" max="16" width="12.42578125" customWidth="1"/>
  </cols>
  <sheetData>
    <row r="2" spans="2:16" ht="30" customHeight="1" x14ac:dyDescent="0.25">
      <c r="B2" s="39" t="s">
        <v>0</v>
      </c>
      <c r="C2" s="40"/>
      <c r="D2" s="40"/>
      <c r="E2" s="41"/>
      <c r="K2" s="42" t="s">
        <v>50</v>
      </c>
      <c r="L2" s="42"/>
      <c r="M2" s="42"/>
      <c r="N2" s="42"/>
      <c r="O2" s="42"/>
      <c r="P2" s="46" t="s">
        <v>51</v>
      </c>
    </row>
    <row r="3" spans="2:16" ht="31.5" x14ac:dyDescent="0.25">
      <c r="B3" s="1" t="s">
        <v>1</v>
      </c>
      <c r="C3" s="2" t="s">
        <v>2</v>
      </c>
      <c r="D3" s="2" t="s">
        <v>3</v>
      </c>
      <c r="E3" s="3" t="s">
        <v>4</v>
      </c>
      <c r="F3" s="24"/>
      <c r="G3" s="24"/>
      <c r="H3" s="24"/>
      <c r="I3" s="24"/>
      <c r="J3" s="24"/>
      <c r="K3" s="34" t="s">
        <v>48</v>
      </c>
      <c r="L3" s="34" t="s">
        <v>47</v>
      </c>
      <c r="M3" s="34" t="s">
        <v>49</v>
      </c>
      <c r="N3" s="34" t="s">
        <v>46</v>
      </c>
      <c r="O3" s="34" t="s">
        <v>45</v>
      </c>
      <c r="P3" s="47" t="s">
        <v>45</v>
      </c>
    </row>
    <row r="4" spans="2:16" x14ac:dyDescent="0.25">
      <c r="B4" s="4" t="s">
        <v>5</v>
      </c>
      <c r="C4" s="5">
        <v>29975</v>
      </c>
      <c r="D4" s="6">
        <v>861331</v>
      </c>
      <c r="E4" s="7">
        <v>25818396725</v>
      </c>
      <c r="K4" s="35">
        <f>IFERROR(D4/$D$29,0)</f>
        <v>0.136781952355922</v>
      </c>
      <c r="L4" s="35">
        <f>IFERROR(E4/$E$29,0)</f>
        <v>0.20586768037438852</v>
      </c>
      <c r="M4" s="37">
        <f>K4</f>
        <v>0.136781952355922</v>
      </c>
      <c r="N4" s="37">
        <f>L4</f>
        <v>0.20586768037438852</v>
      </c>
      <c r="O4" s="38" t="str">
        <f>IF(N4&lt;=80%,"A",IF(N4&lt;=95%,"B","C"))</f>
        <v>A</v>
      </c>
      <c r="P4" s="48" t="str">
        <f>ABC_Analysis($E$4:$E$27,E4)</f>
        <v>A</v>
      </c>
    </row>
    <row r="5" spans="2:16" x14ac:dyDescent="0.25">
      <c r="B5" s="8" t="s">
        <v>6</v>
      </c>
      <c r="C5" s="9">
        <v>25000</v>
      </c>
      <c r="D5" s="10">
        <v>656249</v>
      </c>
      <c r="E5" s="11">
        <v>16406225000</v>
      </c>
      <c r="K5" s="35">
        <f t="shared" ref="K5:K27" si="0">IFERROR(D5/$D$29,0)</f>
        <v>0.10421431418539616</v>
      </c>
      <c r="L5" s="35">
        <f t="shared" ref="L5:L27" si="1">IFERROR(E5/$E$29,0)</f>
        <v>0.13081801788179404</v>
      </c>
      <c r="M5" s="37">
        <f>K5+M4</f>
        <v>0.24099626654131817</v>
      </c>
      <c r="N5" s="37">
        <f>L5+N4</f>
        <v>0.33668569825618255</v>
      </c>
      <c r="O5" s="38" t="str">
        <f t="shared" ref="O5:O27" si="2">IF(N5&lt;=80%,"A",IF(N5&lt;=95%,"B","C"))</f>
        <v>A</v>
      </c>
      <c r="P5" s="48" t="str">
        <f t="shared" ref="P5:P27" si="3">ABC_Analysis($E$4:$E$27,E5)</f>
        <v>A</v>
      </c>
    </row>
    <row r="6" spans="2:16" x14ac:dyDescent="0.25">
      <c r="B6" s="8" t="s">
        <v>7</v>
      </c>
      <c r="C6" s="9">
        <v>19520</v>
      </c>
      <c r="D6" s="10">
        <v>805752</v>
      </c>
      <c r="E6" s="11">
        <v>15728279040</v>
      </c>
      <c r="K6" s="35">
        <f t="shared" si="0"/>
        <v>0.12795584005996402</v>
      </c>
      <c r="L6" s="35">
        <f t="shared" si="1"/>
        <v>0.12541229251120026</v>
      </c>
      <c r="M6" s="37">
        <f t="shared" ref="M6:M27" si="4">K6+M5</f>
        <v>0.36895210660128219</v>
      </c>
      <c r="N6" s="37">
        <f t="shared" ref="N6:N27" si="5">L6+N5</f>
        <v>0.46209799076738278</v>
      </c>
      <c r="O6" s="38" t="str">
        <f t="shared" si="2"/>
        <v>A</v>
      </c>
      <c r="P6" s="48" t="str">
        <f t="shared" si="3"/>
        <v>A</v>
      </c>
    </row>
    <row r="7" spans="2:16" x14ac:dyDescent="0.25">
      <c r="B7" s="8" t="s">
        <v>8</v>
      </c>
      <c r="C7" s="9">
        <v>16619</v>
      </c>
      <c r="D7" s="10">
        <v>770447</v>
      </c>
      <c r="E7" s="11">
        <v>12804058693</v>
      </c>
      <c r="K7" s="35">
        <f t="shared" si="0"/>
        <v>0.12234929991694603</v>
      </c>
      <c r="L7" s="35">
        <f t="shared" si="1"/>
        <v>0.10209548991680989</v>
      </c>
      <c r="M7" s="37">
        <f t="shared" si="4"/>
        <v>0.49130140651822823</v>
      </c>
      <c r="N7" s="37">
        <f t="shared" si="5"/>
        <v>0.56419348068419262</v>
      </c>
      <c r="O7" s="38" t="str">
        <f t="shared" si="2"/>
        <v>A</v>
      </c>
      <c r="P7" s="48" t="str">
        <f t="shared" si="3"/>
        <v>A</v>
      </c>
    </row>
    <row r="8" spans="2:16" x14ac:dyDescent="0.25">
      <c r="B8" s="12" t="s">
        <v>9</v>
      </c>
      <c r="C8" s="9">
        <v>13655</v>
      </c>
      <c r="D8" s="10">
        <v>855179</v>
      </c>
      <c r="E8" s="11">
        <v>11677469245</v>
      </c>
      <c r="K8" s="35">
        <f t="shared" si="0"/>
        <v>0.13580499626018919</v>
      </c>
      <c r="L8" s="35">
        <f t="shared" si="1"/>
        <v>9.3112424125995463E-2</v>
      </c>
      <c r="M8" s="37">
        <f t="shared" si="4"/>
        <v>0.62710640277841745</v>
      </c>
      <c r="N8" s="37">
        <f t="shared" si="5"/>
        <v>0.65730590481018814</v>
      </c>
      <c r="O8" s="38" t="str">
        <f t="shared" si="2"/>
        <v>A</v>
      </c>
      <c r="P8" s="48" t="str">
        <f t="shared" si="3"/>
        <v>A</v>
      </c>
    </row>
    <row r="9" spans="2:16" x14ac:dyDescent="0.25">
      <c r="B9" s="8" t="s">
        <v>10</v>
      </c>
      <c r="C9" s="9">
        <v>15100</v>
      </c>
      <c r="D9" s="10">
        <v>513556</v>
      </c>
      <c r="E9" s="11">
        <v>7754695600</v>
      </c>
      <c r="K9" s="35">
        <f t="shared" si="0"/>
        <v>8.1554236784810816E-2</v>
      </c>
      <c r="L9" s="35">
        <f t="shared" si="1"/>
        <v>6.1833475261290731E-2</v>
      </c>
      <c r="M9" s="37">
        <f t="shared" si="4"/>
        <v>0.70866063956322822</v>
      </c>
      <c r="N9" s="37">
        <f t="shared" si="5"/>
        <v>0.71913938007147882</v>
      </c>
      <c r="O9" s="38" t="str">
        <f t="shared" si="2"/>
        <v>A</v>
      </c>
      <c r="P9" s="48" t="str">
        <f t="shared" si="3"/>
        <v>A</v>
      </c>
    </row>
    <row r="10" spans="2:16" x14ac:dyDescent="0.25">
      <c r="B10" s="8" t="s">
        <v>11</v>
      </c>
      <c r="C10" s="9">
        <v>21120</v>
      </c>
      <c r="D10" s="10">
        <v>236977</v>
      </c>
      <c r="E10" s="11">
        <v>5004954240</v>
      </c>
      <c r="K10" s="35">
        <f t="shared" si="0"/>
        <v>3.7632660061520287E-2</v>
      </c>
      <c r="L10" s="35">
        <f t="shared" si="1"/>
        <v>3.9907912592072881E-2</v>
      </c>
      <c r="M10" s="37">
        <f t="shared" si="4"/>
        <v>0.74629329962474855</v>
      </c>
      <c r="N10" s="37">
        <f t="shared" si="5"/>
        <v>0.75904729266355164</v>
      </c>
      <c r="O10" s="38" t="str">
        <f t="shared" si="2"/>
        <v>A</v>
      </c>
      <c r="P10" s="48" t="str">
        <f t="shared" si="3"/>
        <v>A</v>
      </c>
    </row>
    <row r="11" spans="2:16" x14ac:dyDescent="0.25">
      <c r="B11" s="8" t="s">
        <v>12</v>
      </c>
      <c r="C11" s="9">
        <v>27490</v>
      </c>
      <c r="D11" s="10">
        <v>166034</v>
      </c>
      <c r="E11" s="11">
        <v>4564274660</v>
      </c>
      <c r="K11" s="35">
        <f t="shared" si="0"/>
        <v>2.6366698374333624E-2</v>
      </c>
      <c r="L11" s="35">
        <f t="shared" si="1"/>
        <v>3.6394073840222196E-2</v>
      </c>
      <c r="M11" s="37">
        <f t="shared" si="4"/>
        <v>0.77265999799908214</v>
      </c>
      <c r="N11" s="37">
        <f t="shared" si="5"/>
        <v>0.79544136650377384</v>
      </c>
      <c r="O11" s="38" t="str">
        <f t="shared" si="2"/>
        <v>A</v>
      </c>
      <c r="P11" s="48" t="str">
        <f t="shared" si="3"/>
        <v>A</v>
      </c>
    </row>
    <row r="12" spans="2:16" x14ac:dyDescent="0.25">
      <c r="B12" s="8" t="s">
        <v>13</v>
      </c>
      <c r="C12" s="9">
        <v>14430</v>
      </c>
      <c r="D12" s="10">
        <v>269390</v>
      </c>
      <c r="E12" s="11">
        <v>3887297700</v>
      </c>
      <c r="K12" s="35">
        <f t="shared" si="0"/>
        <v>4.2779941909860238E-2</v>
      </c>
      <c r="L12" s="35">
        <f t="shared" si="1"/>
        <v>3.0996074967303985E-2</v>
      </c>
      <c r="M12" s="37">
        <f t="shared" si="4"/>
        <v>0.81543993990894237</v>
      </c>
      <c r="N12" s="37">
        <f t="shared" si="5"/>
        <v>0.82643744147107778</v>
      </c>
      <c r="O12" s="38" t="str">
        <f t="shared" si="2"/>
        <v>B</v>
      </c>
      <c r="P12" s="48" t="str">
        <f t="shared" si="3"/>
        <v>B</v>
      </c>
    </row>
    <row r="13" spans="2:16" x14ac:dyDescent="0.25">
      <c r="B13" s="8" t="s">
        <v>14</v>
      </c>
      <c r="C13" s="9">
        <v>25260</v>
      </c>
      <c r="D13" s="10">
        <v>130417</v>
      </c>
      <c r="E13" s="11">
        <v>3294333420</v>
      </c>
      <c r="K13" s="35">
        <f t="shared" si="0"/>
        <v>2.0710611693300577E-2</v>
      </c>
      <c r="L13" s="35">
        <f t="shared" si="1"/>
        <v>2.6267966472857205E-2</v>
      </c>
      <c r="M13" s="37">
        <f t="shared" si="4"/>
        <v>0.83615055160224294</v>
      </c>
      <c r="N13" s="37">
        <f t="shared" si="5"/>
        <v>0.85270540794393501</v>
      </c>
      <c r="O13" s="38" t="str">
        <f t="shared" si="2"/>
        <v>B</v>
      </c>
      <c r="P13" s="48" t="str">
        <f t="shared" si="3"/>
        <v>B</v>
      </c>
    </row>
    <row r="14" spans="2:16" x14ac:dyDescent="0.25">
      <c r="B14" s="8" t="s">
        <v>15</v>
      </c>
      <c r="C14" s="9">
        <v>11662</v>
      </c>
      <c r="D14" s="10">
        <v>272080</v>
      </c>
      <c r="E14" s="11">
        <v>3172996960</v>
      </c>
      <c r="K14" s="35">
        <f t="shared" si="0"/>
        <v>4.3207121997233651E-2</v>
      </c>
      <c r="L14" s="35">
        <f t="shared" si="1"/>
        <v>2.5300468148654436E-2</v>
      </c>
      <c r="M14" s="37">
        <f t="shared" si="4"/>
        <v>0.87935767359947659</v>
      </c>
      <c r="N14" s="37">
        <f t="shared" si="5"/>
        <v>0.8780058760925894</v>
      </c>
      <c r="O14" s="38" t="str">
        <f t="shared" si="2"/>
        <v>B</v>
      </c>
      <c r="P14" s="48" t="str">
        <f t="shared" si="3"/>
        <v>B</v>
      </c>
    </row>
    <row r="15" spans="2:16" x14ac:dyDescent="0.25">
      <c r="B15" s="8" t="s">
        <v>16</v>
      </c>
      <c r="C15" s="9">
        <v>18577</v>
      </c>
      <c r="D15" s="10">
        <v>141076</v>
      </c>
      <c r="E15" s="11">
        <v>2620768852</v>
      </c>
      <c r="K15" s="35">
        <f t="shared" si="0"/>
        <v>2.2403292939141922E-2</v>
      </c>
      <c r="L15" s="35">
        <f t="shared" si="1"/>
        <v>2.0897176927963917E-2</v>
      </c>
      <c r="M15" s="37">
        <f t="shared" si="4"/>
        <v>0.90176096653861848</v>
      </c>
      <c r="N15" s="37">
        <f t="shared" si="5"/>
        <v>0.89890305302055329</v>
      </c>
      <c r="O15" s="38" t="str">
        <f t="shared" si="2"/>
        <v>B</v>
      </c>
      <c r="P15" s="48" t="str">
        <f t="shared" si="3"/>
        <v>B</v>
      </c>
    </row>
    <row r="16" spans="2:16" x14ac:dyDescent="0.25">
      <c r="B16" s="8" t="s">
        <v>17</v>
      </c>
      <c r="C16" s="9">
        <v>58615</v>
      </c>
      <c r="D16" s="10">
        <v>40387</v>
      </c>
      <c r="E16" s="11">
        <v>2367284005</v>
      </c>
      <c r="K16" s="35">
        <f t="shared" si="0"/>
        <v>6.4135770218401774E-3</v>
      </c>
      <c r="L16" s="35">
        <f t="shared" si="1"/>
        <v>1.8875969413888631E-2</v>
      </c>
      <c r="M16" s="37">
        <f t="shared" si="4"/>
        <v>0.90817454356045868</v>
      </c>
      <c r="N16" s="37">
        <f t="shared" si="5"/>
        <v>0.91777902243444187</v>
      </c>
      <c r="O16" s="38" t="str">
        <f t="shared" si="2"/>
        <v>B</v>
      </c>
      <c r="P16" s="48" t="str">
        <f t="shared" si="3"/>
        <v>B</v>
      </c>
    </row>
    <row r="17" spans="2:16" x14ac:dyDescent="0.25">
      <c r="B17" s="8" t="s">
        <v>18</v>
      </c>
      <c r="C17" s="9">
        <v>42440</v>
      </c>
      <c r="D17" s="10">
        <v>49735</v>
      </c>
      <c r="E17" s="11">
        <v>2110753400</v>
      </c>
      <c r="K17" s="35">
        <f t="shared" si="0"/>
        <v>7.8980675262144071E-3</v>
      </c>
      <c r="L17" s="35">
        <f t="shared" si="1"/>
        <v>1.6830475994645783E-2</v>
      </c>
      <c r="M17" s="37">
        <f t="shared" si="4"/>
        <v>0.91607261108667304</v>
      </c>
      <c r="N17" s="37">
        <f t="shared" si="5"/>
        <v>0.93460949842908769</v>
      </c>
      <c r="O17" s="38" t="str">
        <f t="shared" si="2"/>
        <v>B</v>
      </c>
      <c r="P17" s="48" t="str">
        <f t="shared" si="3"/>
        <v>B</v>
      </c>
    </row>
    <row r="18" spans="2:16" x14ac:dyDescent="0.25">
      <c r="B18" s="8" t="s">
        <v>19</v>
      </c>
      <c r="C18" s="9">
        <v>10526</v>
      </c>
      <c r="D18" s="10">
        <v>156410</v>
      </c>
      <c r="E18" s="11">
        <v>1646371660</v>
      </c>
      <c r="K18" s="35">
        <f t="shared" si="0"/>
        <v>2.4838378240176841E-2</v>
      </c>
      <c r="L18" s="35">
        <f t="shared" si="1"/>
        <v>1.312764376070418E-2</v>
      </c>
      <c r="M18" s="37">
        <f t="shared" si="4"/>
        <v>0.94091098932684991</v>
      </c>
      <c r="N18" s="37">
        <f t="shared" si="5"/>
        <v>0.94773714218979188</v>
      </c>
      <c r="O18" s="38" t="str">
        <f t="shared" si="2"/>
        <v>B</v>
      </c>
      <c r="P18" s="48" t="str">
        <f t="shared" si="3"/>
        <v>B</v>
      </c>
    </row>
    <row r="19" spans="2:16" x14ac:dyDescent="0.25">
      <c r="B19" s="8" t="s">
        <v>20</v>
      </c>
      <c r="C19" s="9">
        <v>10750</v>
      </c>
      <c r="D19" s="10">
        <v>136512</v>
      </c>
      <c r="E19" s="11">
        <v>1467504000</v>
      </c>
      <c r="K19" s="35">
        <f t="shared" si="0"/>
        <v>2.1678516017665246E-2</v>
      </c>
      <c r="L19" s="35">
        <f t="shared" si="1"/>
        <v>1.1701409953453904E-2</v>
      </c>
      <c r="M19" s="37">
        <f t="shared" si="4"/>
        <v>0.96258950534451515</v>
      </c>
      <c r="N19" s="37">
        <f t="shared" si="5"/>
        <v>0.9594385521432458</v>
      </c>
      <c r="O19" s="38" t="str">
        <f t="shared" si="2"/>
        <v>C</v>
      </c>
      <c r="P19" s="48" t="str">
        <f t="shared" si="3"/>
        <v>C</v>
      </c>
    </row>
    <row r="20" spans="2:16" x14ac:dyDescent="0.25">
      <c r="B20" s="8" t="s">
        <v>21</v>
      </c>
      <c r="C20" s="9">
        <v>37810</v>
      </c>
      <c r="D20" s="10">
        <v>30459</v>
      </c>
      <c r="E20" s="11">
        <v>1151654790</v>
      </c>
      <c r="K20" s="35">
        <f t="shared" si="0"/>
        <v>4.8369807737200085E-3</v>
      </c>
      <c r="L20" s="35">
        <f t="shared" si="1"/>
        <v>9.1829288524248424E-3</v>
      </c>
      <c r="M20" s="37">
        <f t="shared" si="4"/>
        <v>0.96742648611823512</v>
      </c>
      <c r="N20" s="37">
        <f t="shared" si="5"/>
        <v>0.96862148099567069</v>
      </c>
      <c r="O20" s="38" t="str">
        <f t="shared" si="2"/>
        <v>C</v>
      </c>
      <c r="P20" s="48" t="str">
        <f t="shared" si="3"/>
        <v>C</v>
      </c>
    </row>
    <row r="21" spans="2:16" x14ac:dyDescent="0.25">
      <c r="B21" s="8" t="s">
        <v>22</v>
      </c>
      <c r="C21" s="9">
        <v>45000</v>
      </c>
      <c r="D21" s="10">
        <v>24102</v>
      </c>
      <c r="E21" s="11">
        <v>1084590000</v>
      </c>
      <c r="K21" s="35">
        <f t="shared" si="0"/>
        <v>3.8274700616632074E-3</v>
      </c>
      <c r="L21" s="35">
        <f t="shared" si="1"/>
        <v>8.6481755561937605E-3</v>
      </c>
      <c r="M21" s="37">
        <f t="shared" si="4"/>
        <v>0.97125395617989829</v>
      </c>
      <c r="N21" s="37">
        <f t="shared" si="5"/>
        <v>0.97726965655186449</v>
      </c>
      <c r="O21" s="38" t="str">
        <f t="shared" si="2"/>
        <v>C</v>
      </c>
      <c r="P21" s="48" t="str">
        <f t="shared" si="3"/>
        <v>C</v>
      </c>
    </row>
    <row r="22" spans="2:16" x14ac:dyDescent="0.25">
      <c r="B22" s="8" t="s">
        <v>23</v>
      </c>
      <c r="C22" s="9">
        <v>11907</v>
      </c>
      <c r="D22" s="10">
        <v>59233</v>
      </c>
      <c r="E22" s="11">
        <v>705287331</v>
      </c>
      <c r="K22" s="35">
        <f t="shared" si="0"/>
        <v>9.4063784815574137E-3</v>
      </c>
      <c r="L22" s="35">
        <f t="shared" si="1"/>
        <v>5.6237367632444874E-3</v>
      </c>
      <c r="M22" s="37">
        <f t="shared" si="4"/>
        <v>0.98066033466145575</v>
      </c>
      <c r="N22" s="37">
        <f t="shared" si="5"/>
        <v>0.98289339331510894</v>
      </c>
      <c r="O22" s="38" t="str">
        <f t="shared" si="2"/>
        <v>C</v>
      </c>
      <c r="P22" s="48" t="str">
        <f t="shared" si="3"/>
        <v>C</v>
      </c>
    </row>
    <row r="23" spans="2:16" x14ac:dyDescent="0.25">
      <c r="B23" s="8" t="s">
        <v>24</v>
      </c>
      <c r="C23" s="9">
        <v>18627</v>
      </c>
      <c r="D23" s="10">
        <v>37846</v>
      </c>
      <c r="E23" s="11">
        <v>704957442</v>
      </c>
      <c r="K23" s="35">
        <f t="shared" si="0"/>
        <v>6.0100585824290828E-3</v>
      </c>
      <c r="L23" s="35">
        <f t="shared" si="1"/>
        <v>5.6211063333252943E-3</v>
      </c>
      <c r="M23" s="37">
        <f t="shared" si="4"/>
        <v>0.98667039324388484</v>
      </c>
      <c r="N23" s="37">
        <f t="shared" si="5"/>
        <v>0.98851449964843419</v>
      </c>
      <c r="O23" s="38" t="str">
        <f t="shared" si="2"/>
        <v>C</v>
      </c>
      <c r="P23" s="48" t="str">
        <f t="shared" si="3"/>
        <v>C</v>
      </c>
    </row>
    <row r="24" spans="2:16" x14ac:dyDescent="0.25">
      <c r="B24" s="8" t="s">
        <v>25</v>
      </c>
      <c r="C24" s="9">
        <v>22600</v>
      </c>
      <c r="D24" s="10">
        <v>26986</v>
      </c>
      <c r="E24" s="11">
        <v>609883600</v>
      </c>
      <c r="K24" s="35">
        <f t="shared" si="0"/>
        <v>4.285457932289574E-3</v>
      </c>
      <c r="L24" s="35">
        <f t="shared" si="1"/>
        <v>4.8630177685977678E-3</v>
      </c>
      <c r="M24" s="37">
        <f t="shared" si="4"/>
        <v>0.99095585117617446</v>
      </c>
      <c r="N24" s="37">
        <f t="shared" si="5"/>
        <v>0.99337751741703195</v>
      </c>
      <c r="O24" s="38" t="str">
        <f t="shared" si="2"/>
        <v>C</v>
      </c>
      <c r="P24" s="48" t="str">
        <f t="shared" si="3"/>
        <v>C</v>
      </c>
    </row>
    <row r="25" spans="2:16" x14ac:dyDescent="0.25">
      <c r="B25" s="8" t="s">
        <v>26</v>
      </c>
      <c r="C25" s="9">
        <v>11595</v>
      </c>
      <c r="D25" s="10">
        <v>40596</v>
      </c>
      <c r="E25" s="11">
        <v>470710620</v>
      </c>
      <c r="K25" s="35">
        <f t="shared" si="0"/>
        <v>6.4467668501900074E-3</v>
      </c>
      <c r="L25" s="35">
        <f t="shared" si="1"/>
        <v>3.7532967092862835E-3</v>
      </c>
      <c r="M25" s="37">
        <f t="shared" si="4"/>
        <v>0.99740261802636443</v>
      </c>
      <c r="N25" s="37">
        <f t="shared" si="5"/>
        <v>0.99713081412631821</v>
      </c>
      <c r="O25" s="38" t="str">
        <f t="shared" si="2"/>
        <v>C</v>
      </c>
      <c r="P25" s="48" t="str">
        <f t="shared" si="3"/>
        <v>C</v>
      </c>
    </row>
    <row r="26" spans="2:16" x14ac:dyDescent="0.25">
      <c r="B26" s="8" t="s">
        <v>27</v>
      </c>
      <c r="C26" s="9">
        <v>22000</v>
      </c>
      <c r="D26" s="10">
        <v>16356</v>
      </c>
      <c r="E26" s="11">
        <v>359832000</v>
      </c>
      <c r="K26" s="35">
        <f t="shared" si="0"/>
        <v>2.5973819736355248E-3</v>
      </c>
      <c r="L26" s="35">
        <f t="shared" si="1"/>
        <v>2.8691858736815878E-3</v>
      </c>
      <c r="M26" s="37">
        <f t="shared" si="4"/>
        <v>1</v>
      </c>
      <c r="N26" s="37">
        <f t="shared" si="5"/>
        <v>0.99999999999999978</v>
      </c>
      <c r="O26" s="38" t="str">
        <f t="shared" si="2"/>
        <v>C</v>
      </c>
      <c r="P26" s="48" t="str">
        <f t="shared" si="3"/>
        <v>C</v>
      </c>
    </row>
    <row r="27" spans="2:16" x14ac:dyDescent="0.25">
      <c r="B27" s="13" t="s">
        <v>28</v>
      </c>
      <c r="C27" s="14">
        <v>22000</v>
      </c>
      <c r="D27" s="15" t="s">
        <v>29</v>
      </c>
      <c r="E27" s="16">
        <v>0</v>
      </c>
      <c r="K27" s="35">
        <f t="shared" si="0"/>
        <v>0</v>
      </c>
      <c r="L27" s="35">
        <f t="shared" si="1"/>
        <v>0</v>
      </c>
      <c r="M27" s="37">
        <f t="shared" si="4"/>
        <v>1</v>
      </c>
      <c r="N27" s="37">
        <f t="shared" si="5"/>
        <v>0.99999999999999978</v>
      </c>
      <c r="O27" s="38" t="str">
        <f t="shared" si="2"/>
        <v>C</v>
      </c>
      <c r="P27" s="48" t="str">
        <f t="shared" si="3"/>
        <v>C</v>
      </c>
    </row>
    <row r="28" spans="2:16" x14ac:dyDescent="0.25">
      <c r="B28" s="17"/>
      <c r="C28" s="18"/>
      <c r="D28" s="19"/>
      <c r="E28" s="17"/>
    </row>
    <row r="29" spans="2:16" x14ac:dyDescent="0.25">
      <c r="B29" s="20"/>
      <c r="C29" s="21"/>
      <c r="D29" s="22">
        <f>SUM(D4:D27)</f>
        <v>6297110</v>
      </c>
      <c r="E29" s="21">
        <f>SUM(E4:E27)</f>
        <v>125412578983</v>
      </c>
      <c r="F29" s="30"/>
      <c r="G29" s="18"/>
      <c r="H29" s="18"/>
      <c r="I29" s="18"/>
      <c r="J29" s="18"/>
      <c r="K29" s="36">
        <f>SUM(K4:K27)</f>
        <v>1</v>
      </c>
      <c r="L29" s="36">
        <f>SUM(L4:L27)</f>
        <v>0.99999999999999978</v>
      </c>
    </row>
  </sheetData>
  <mergeCells count="2">
    <mergeCell ref="B2:E2"/>
    <mergeCell ref="K2:O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L13"/>
  <sheetViews>
    <sheetView workbookViewId="0">
      <selection activeCell="E19" sqref="E19"/>
    </sheetView>
  </sheetViews>
  <sheetFormatPr defaultRowHeight="15" x14ac:dyDescent="0.25"/>
  <cols>
    <col min="2" max="5" width="16.5703125" customWidth="1"/>
    <col min="7" max="7" width="14" customWidth="1"/>
    <col min="8" max="8" width="13" customWidth="1"/>
    <col min="9" max="9" width="15.42578125" customWidth="1"/>
    <col min="10" max="10" width="15.5703125" customWidth="1"/>
    <col min="12" max="12" width="23.140625" customWidth="1"/>
  </cols>
  <sheetData>
    <row r="2" spans="2:12" ht="31.5" x14ac:dyDescent="0.25">
      <c r="B2" s="1" t="s">
        <v>30</v>
      </c>
      <c r="C2" s="2" t="s">
        <v>31</v>
      </c>
      <c r="D2" s="2" t="s">
        <v>3</v>
      </c>
      <c r="E2" s="3" t="s">
        <v>4</v>
      </c>
      <c r="G2" s="28" t="s">
        <v>41</v>
      </c>
      <c r="H2" s="28" t="s">
        <v>42</v>
      </c>
      <c r="I2" s="29" t="s">
        <v>43</v>
      </c>
      <c r="J2" s="29" t="s">
        <v>44</v>
      </c>
      <c r="K2" s="44" t="s">
        <v>45</v>
      </c>
      <c r="L2" s="44" t="s">
        <v>52</v>
      </c>
    </row>
    <row r="3" spans="2:12" x14ac:dyDescent="0.25">
      <c r="B3" s="31" t="s">
        <v>32</v>
      </c>
      <c r="C3" s="5">
        <v>1200</v>
      </c>
      <c r="D3" s="6">
        <v>375</v>
      </c>
      <c r="E3" s="7">
        <f t="shared" ref="E3:E11" si="0">C3*D3</f>
        <v>450000</v>
      </c>
      <c r="G3" s="27">
        <f>D3/$D$13</f>
        <v>8.0645161290322578E-2</v>
      </c>
      <c r="H3" s="27">
        <f>E3/$E$13</f>
        <v>0.30410542321338063</v>
      </c>
      <c r="I3" s="45">
        <f>G3</f>
        <v>8.0645161290322578E-2</v>
      </c>
      <c r="J3" s="45">
        <f>H3</f>
        <v>0.30410542321338063</v>
      </c>
      <c r="K3" s="38" t="str">
        <f>IF(J3&lt;=80%,"A",IF(J3&lt;=95%,"B","C"))</f>
        <v>A</v>
      </c>
      <c r="L3" s="43" t="str">
        <f>ABC_Analysis($E$3:$E$11,E3)</f>
        <v>A</v>
      </c>
    </row>
    <row r="4" spans="2:12" x14ac:dyDescent="0.25">
      <c r="B4" s="32" t="s">
        <v>33</v>
      </c>
      <c r="C4" s="9">
        <v>1450</v>
      </c>
      <c r="D4" s="10">
        <v>275</v>
      </c>
      <c r="E4" s="11">
        <f t="shared" si="0"/>
        <v>398750</v>
      </c>
      <c r="G4" s="27">
        <f>D4/$D$13</f>
        <v>5.9139784946236562E-2</v>
      </c>
      <c r="H4" s="27">
        <f t="shared" ref="H4:H11" si="1">E4/$E$13</f>
        <v>0.26947119445852341</v>
      </c>
      <c r="I4" s="45">
        <f>G4+I3</f>
        <v>0.13978494623655913</v>
      </c>
      <c r="J4" s="45">
        <f>H4+J3</f>
        <v>0.57357661767190404</v>
      </c>
      <c r="K4" s="38" t="str">
        <f t="shared" ref="K4:K11" si="2">IF(J4&lt;=80%,"A",IF(J4&lt;=95%,"B","C"))</f>
        <v>A</v>
      </c>
      <c r="L4" s="43" t="str">
        <f t="shared" ref="L4:L11" si="3">ABC_Analysis($E$3:$E$11,E4)</f>
        <v>A</v>
      </c>
    </row>
    <row r="5" spans="2:12" x14ac:dyDescent="0.25">
      <c r="B5" s="32" t="s">
        <v>34</v>
      </c>
      <c r="C5" s="9">
        <v>900</v>
      </c>
      <c r="D5" s="10">
        <v>300</v>
      </c>
      <c r="E5" s="11">
        <f t="shared" si="0"/>
        <v>270000</v>
      </c>
      <c r="G5" s="27">
        <f t="shared" ref="G5:G11" si="4">D5/$D$13</f>
        <v>6.4516129032258063E-2</v>
      </c>
      <c r="H5" s="27">
        <f t="shared" si="1"/>
        <v>0.1824632539280284</v>
      </c>
      <c r="I5" s="45">
        <f t="shared" ref="I5:I11" si="5">G5+I4</f>
        <v>0.20430107526881719</v>
      </c>
      <c r="J5" s="45">
        <f t="shared" ref="J5:J11" si="6">H5+J4</f>
        <v>0.75603987159993247</v>
      </c>
      <c r="K5" s="38" t="str">
        <f t="shared" si="2"/>
        <v>A</v>
      </c>
      <c r="L5" s="43" t="str">
        <f t="shared" si="3"/>
        <v>A</v>
      </c>
    </row>
    <row r="6" spans="2:12" x14ac:dyDescent="0.25">
      <c r="B6" s="32" t="s">
        <v>35</v>
      </c>
      <c r="C6" s="9">
        <v>250</v>
      </c>
      <c r="D6" s="10">
        <v>500</v>
      </c>
      <c r="E6" s="11">
        <f t="shared" si="0"/>
        <v>125000</v>
      </c>
      <c r="G6" s="27">
        <f t="shared" si="4"/>
        <v>0.10752688172043011</v>
      </c>
      <c r="H6" s="27">
        <f t="shared" si="1"/>
        <v>8.4473728670383511E-2</v>
      </c>
      <c r="I6" s="45">
        <f t="shared" si="5"/>
        <v>0.31182795698924731</v>
      </c>
      <c r="J6" s="45">
        <f t="shared" si="6"/>
        <v>0.84051360027031596</v>
      </c>
      <c r="K6" s="38" t="str">
        <f t="shared" si="2"/>
        <v>B</v>
      </c>
      <c r="L6" s="43" t="str">
        <f t="shared" si="3"/>
        <v>B</v>
      </c>
    </row>
    <row r="7" spans="2:12" x14ac:dyDescent="0.25">
      <c r="B7" s="32" t="s">
        <v>36</v>
      </c>
      <c r="C7" s="9">
        <v>130</v>
      </c>
      <c r="D7" s="10">
        <v>700</v>
      </c>
      <c r="E7" s="11">
        <f t="shared" si="0"/>
        <v>91000</v>
      </c>
      <c r="G7" s="27">
        <f t="shared" si="4"/>
        <v>0.15053763440860216</v>
      </c>
      <c r="H7" s="27">
        <f t="shared" si="1"/>
        <v>6.1496874472039192E-2</v>
      </c>
      <c r="I7" s="45">
        <f t="shared" si="5"/>
        <v>0.4623655913978495</v>
      </c>
      <c r="J7" s="45">
        <f t="shared" si="6"/>
        <v>0.90201047474235518</v>
      </c>
      <c r="K7" s="38" t="str">
        <f t="shared" si="2"/>
        <v>B</v>
      </c>
      <c r="L7" s="43" t="str">
        <f t="shared" si="3"/>
        <v>B</v>
      </c>
    </row>
    <row r="8" spans="2:12" x14ac:dyDescent="0.25">
      <c r="B8" s="32" t="s">
        <v>37</v>
      </c>
      <c r="C8" s="9">
        <v>100</v>
      </c>
      <c r="D8" s="10">
        <v>700</v>
      </c>
      <c r="E8" s="11">
        <f t="shared" si="0"/>
        <v>70000</v>
      </c>
      <c r="G8" s="27">
        <f t="shared" si="4"/>
        <v>0.15053763440860216</v>
      </c>
      <c r="H8" s="27">
        <f t="shared" si="1"/>
        <v>4.7305288055414764E-2</v>
      </c>
      <c r="I8" s="45">
        <f t="shared" si="5"/>
        <v>0.61290322580645162</v>
      </c>
      <c r="J8" s="45">
        <f t="shared" si="6"/>
        <v>0.94931576279776997</v>
      </c>
      <c r="K8" s="38" t="str">
        <f t="shared" si="2"/>
        <v>B</v>
      </c>
      <c r="L8" s="43" t="str">
        <f t="shared" si="3"/>
        <v>B</v>
      </c>
    </row>
    <row r="9" spans="2:12" x14ac:dyDescent="0.25">
      <c r="B9" s="32" t="s">
        <v>38</v>
      </c>
      <c r="C9" s="9">
        <v>50</v>
      </c>
      <c r="D9" s="10">
        <v>800</v>
      </c>
      <c r="E9" s="11">
        <f t="shared" si="0"/>
        <v>40000</v>
      </c>
      <c r="G9" s="27">
        <f t="shared" si="4"/>
        <v>0.17204301075268819</v>
      </c>
      <c r="H9" s="27">
        <f t="shared" si="1"/>
        <v>2.7031593174522722E-2</v>
      </c>
      <c r="I9" s="45">
        <f t="shared" si="5"/>
        <v>0.78494623655913975</v>
      </c>
      <c r="J9" s="45">
        <f t="shared" si="6"/>
        <v>0.97634735597229272</v>
      </c>
      <c r="K9" s="38" t="str">
        <f t="shared" si="2"/>
        <v>C</v>
      </c>
      <c r="L9" s="43" t="str">
        <f t="shared" si="3"/>
        <v>C</v>
      </c>
    </row>
    <row r="10" spans="2:12" x14ac:dyDescent="0.25">
      <c r="B10" s="32" t="s">
        <v>39</v>
      </c>
      <c r="C10" s="9">
        <v>40</v>
      </c>
      <c r="D10" s="10">
        <v>500</v>
      </c>
      <c r="E10" s="11">
        <f t="shared" si="0"/>
        <v>20000</v>
      </c>
      <c r="G10" s="27">
        <f t="shared" si="4"/>
        <v>0.10752688172043011</v>
      </c>
      <c r="H10" s="27">
        <f t="shared" si="1"/>
        <v>1.3515796587261361E-2</v>
      </c>
      <c r="I10" s="45">
        <f t="shared" si="5"/>
        <v>0.89247311827956988</v>
      </c>
      <c r="J10" s="45">
        <f t="shared" si="6"/>
        <v>0.98986315255955404</v>
      </c>
      <c r="K10" s="38" t="str">
        <f t="shared" si="2"/>
        <v>C</v>
      </c>
      <c r="L10" s="43" t="str">
        <f t="shared" si="3"/>
        <v>C</v>
      </c>
    </row>
    <row r="11" spans="2:12" x14ac:dyDescent="0.25">
      <c r="B11" s="33" t="s">
        <v>40</v>
      </c>
      <c r="C11" s="14">
        <v>30</v>
      </c>
      <c r="D11" s="15">
        <v>500</v>
      </c>
      <c r="E11" s="16">
        <f t="shared" si="0"/>
        <v>15000</v>
      </c>
      <c r="G11" s="27">
        <f t="shared" si="4"/>
        <v>0.10752688172043011</v>
      </c>
      <c r="H11" s="27">
        <f t="shared" si="1"/>
        <v>1.0136847440446021E-2</v>
      </c>
      <c r="I11" s="45">
        <f t="shared" si="5"/>
        <v>1</v>
      </c>
      <c r="J11" s="45">
        <f t="shared" si="6"/>
        <v>1</v>
      </c>
      <c r="K11" s="38" t="str">
        <f t="shared" si="2"/>
        <v>C</v>
      </c>
      <c r="L11" s="43" t="str">
        <f t="shared" si="3"/>
        <v>C</v>
      </c>
    </row>
    <row r="12" spans="2:12" x14ac:dyDescent="0.25">
      <c r="B12" s="17"/>
      <c r="C12" s="18"/>
      <c r="D12" s="19"/>
      <c r="E12" s="17"/>
      <c r="G12" s="25"/>
    </row>
    <row r="13" spans="2:12" x14ac:dyDescent="0.25">
      <c r="B13" s="20"/>
      <c r="C13" s="21"/>
      <c r="D13" s="22">
        <f>SUM(D3:D11)</f>
        <v>4650</v>
      </c>
      <c r="E13" s="23">
        <f>SUM(E3:E11)</f>
        <v>1479750</v>
      </c>
      <c r="G13" s="26">
        <f>SUM(G3:G11)</f>
        <v>1</v>
      </c>
      <c r="H13" s="26">
        <f>SUM(H3:H11)</f>
        <v>1</v>
      </c>
    </row>
  </sheetData>
  <sortState ref="B3:E11">
    <sortCondition descending="1" ref="E3:E11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Пример на реальных данных</vt:lpstr>
      <vt:lpstr>Наглядный пример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Kseniya</dc:creator>
  <cp:lastModifiedBy>Kseniya</cp:lastModifiedBy>
  <dcterms:created xsi:type="dcterms:W3CDTF">2023-11-12T17:48:36Z</dcterms:created>
  <dcterms:modified xsi:type="dcterms:W3CDTF">2023-11-16T16:00:26Z</dcterms:modified>
</cp:coreProperties>
</file>